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briel-rugeri/Library/Mobile Documents/com~apple~CloudDocs/"/>
    </mc:Choice>
  </mc:AlternateContent>
  <xr:revisionPtr revIDLastSave="0" documentId="8_{EA2DE34B-A958-7A49-9CBA-314D276630E7}" xr6:coauthVersionLast="47" xr6:coauthVersionMax="47" xr10:uidLastSave="{00000000-0000-0000-0000-000000000000}"/>
  <bookViews>
    <workbookView xWindow="-5340" yWindow="-28800" windowWidth="51200" windowHeight="28800" xr2:uid="{C4E84495-5635-D948-9C89-C95B31B73A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/>
  <c r="G3" i="1"/>
  <c r="E4" i="1"/>
  <c r="F4" i="1"/>
  <c r="G4" i="1"/>
  <c r="E5" i="1"/>
  <c r="J5" i="1" s="1"/>
  <c r="F5" i="1"/>
  <c r="G5" i="1"/>
  <c r="E6" i="1"/>
  <c r="F6" i="1"/>
  <c r="G6" i="1"/>
  <c r="E7" i="1"/>
  <c r="F7" i="1"/>
  <c r="G7" i="1"/>
  <c r="E8" i="1"/>
  <c r="F8" i="1"/>
  <c r="G8" i="1"/>
  <c r="E9" i="1"/>
  <c r="F9" i="1"/>
  <c r="G9" i="1"/>
  <c r="E10" i="1"/>
  <c r="F10" i="1"/>
  <c r="G10" i="1"/>
  <c r="E11" i="1"/>
  <c r="F11" i="1"/>
  <c r="G11" i="1"/>
  <c r="E12" i="1"/>
  <c r="J11" i="1" s="1"/>
  <c r="F12" i="1"/>
  <c r="G12" i="1"/>
  <c r="E13" i="1"/>
  <c r="I11" i="1" s="1"/>
  <c r="F13" i="1"/>
  <c r="G13" i="1"/>
  <c r="E14" i="1"/>
  <c r="F14" i="1"/>
  <c r="G14" i="1"/>
  <c r="E15" i="1"/>
  <c r="F15" i="1"/>
  <c r="G15" i="1"/>
  <c r="E16" i="1"/>
  <c r="I16" i="1" s="1"/>
  <c r="F16" i="1"/>
  <c r="G16" i="1"/>
  <c r="E17" i="1"/>
  <c r="F17" i="1"/>
  <c r="G17" i="1"/>
  <c r="J17" i="1" s="1"/>
  <c r="E18" i="1"/>
  <c r="F18" i="1"/>
  <c r="G18" i="1"/>
  <c r="E19" i="1"/>
  <c r="F19" i="1"/>
  <c r="G19" i="1"/>
  <c r="F2" i="1"/>
  <c r="G2" i="1"/>
  <c r="E2" i="1"/>
  <c r="H15" i="1" l="1"/>
  <c r="I17" i="1"/>
  <c r="J16" i="1"/>
  <c r="I4" i="1"/>
  <c r="I8" i="1"/>
  <c r="H8" i="1"/>
  <c r="H18" i="1"/>
  <c r="J14" i="1"/>
  <c r="J4" i="1"/>
  <c r="I15" i="1"/>
  <c r="H14" i="1"/>
  <c r="J15" i="1"/>
  <c r="J8" i="1"/>
  <c r="H6" i="1"/>
  <c r="H4" i="1"/>
  <c r="J18" i="1"/>
  <c r="H9" i="1"/>
  <c r="I9" i="1"/>
  <c r="J9" i="1"/>
  <c r="I5" i="1"/>
  <c r="H5" i="1"/>
  <c r="I14" i="1"/>
  <c r="H11" i="1"/>
  <c r="I18" i="1"/>
  <c r="J2" i="1"/>
  <c r="H2" i="1"/>
  <c r="I2" i="1"/>
  <c r="H20" i="1" l="1"/>
  <c r="H21" i="1" s="1"/>
  <c r="J20" i="1"/>
  <c r="J21" i="1" s="1"/>
  <c r="I20" i="1"/>
  <c r="I21" i="1" s="1"/>
</calcChain>
</file>

<file path=xl/sharedStrings.xml><?xml version="1.0" encoding="utf-8"?>
<sst xmlns="http://schemas.openxmlformats.org/spreadsheetml/2006/main" count="30" uniqueCount="30">
  <si>
    <t>Brinquedo</t>
  </si>
  <si>
    <t>basketballFree</t>
  </si>
  <si>
    <t>basketballOnCone</t>
  </si>
  <si>
    <t>bear</t>
  </si>
  <si>
    <t>book</t>
  </si>
  <si>
    <t>carShelf</t>
  </si>
  <si>
    <t>car</t>
  </si>
  <si>
    <t>duck</t>
  </si>
  <si>
    <t>horseMessed</t>
  </si>
  <si>
    <t>horseRolled</t>
  </si>
  <si>
    <t>legoBox</t>
  </si>
  <si>
    <t>legoMessed</t>
  </si>
  <si>
    <t>legoTower</t>
  </si>
  <si>
    <t>rubix</t>
  </si>
  <si>
    <t>russian1</t>
  </si>
  <si>
    <t>russian2</t>
  </si>
  <si>
    <t>russian3</t>
  </si>
  <si>
    <t>wandFree</t>
  </si>
  <si>
    <t>wandTube</t>
  </si>
  <si>
    <t>Amin</t>
  </si>
  <si>
    <t>Aint</t>
  </si>
  <si>
    <t>Amax</t>
  </si>
  <si>
    <t>mr</t>
  </si>
  <si>
    <t>nr</t>
  </si>
  <si>
    <t>kr</t>
  </si>
  <si>
    <t>mv</t>
  </si>
  <si>
    <t>nv</t>
  </si>
  <si>
    <t>kv</t>
  </si>
  <si>
    <t>At</t>
  </si>
  <si>
    <t>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</si>
</sst>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41A1C0"/>
      <name val="Menlo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2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2" fillId="0" borderId="1" xfId="0" applyFont="1" applyBorder="1"/>
    <xf numFmtId="0" fontId="0" fillId="7" borderId="1" xfId="0" applyFill="1" applyBorder="1"/>
    <xf numFmtId="0" fontId="0" fillId="0" borderId="1" xfId="0" applyBorder="1" applyAlignment="1">
      <alignment vertical="distributed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D8D48-C552-4344-B387-8DAE867634B1}">
  <dimension ref="A1:J22"/>
  <sheetViews>
    <sheetView tabSelected="1" zoomScale="176" workbookViewId="0">
      <selection activeCell="K22" sqref="K22"/>
    </sheetView>
  </sheetViews>
  <sheetFormatPr baseColWidth="10" defaultRowHeight="16" x14ac:dyDescent="0.2"/>
  <cols>
    <col min="1" max="1" width="18.33203125" customWidth="1"/>
    <col min="2" max="7" width="8.1640625" customWidth="1"/>
    <col min="8" max="10" width="10.83203125" style="17"/>
  </cols>
  <sheetData>
    <row r="1" spans="1:10" x14ac:dyDescent="0.2">
      <c r="A1" s="1" t="s">
        <v>0</v>
      </c>
      <c r="B1" s="2" t="s">
        <v>22</v>
      </c>
      <c r="C1" s="2" t="s">
        <v>23</v>
      </c>
      <c r="D1" s="2" t="s">
        <v>24</v>
      </c>
      <c r="E1" s="3" t="s">
        <v>25</v>
      </c>
      <c r="F1" s="3" t="s">
        <v>26</v>
      </c>
      <c r="G1" s="3" t="s">
        <v>27</v>
      </c>
      <c r="H1" s="13" t="s">
        <v>19</v>
      </c>
      <c r="I1" s="13" t="s">
        <v>20</v>
      </c>
      <c r="J1" s="13" t="s">
        <v>21</v>
      </c>
    </row>
    <row r="2" spans="1:10" x14ac:dyDescent="0.2">
      <c r="A2" s="4" t="s">
        <v>1</v>
      </c>
      <c r="B2" s="5">
        <v>25</v>
      </c>
      <c r="C2" s="5">
        <v>25</v>
      </c>
      <c r="D2" s="5">
        <v>25</v>
      </c>
      <c r="E2" s="6">
        <f>_xlfn.FLOOR.MATH(B2*0.7)</f>
        <v>17</v>
      </c>
      <c r="F2" s="6">
        <f t="shared" ref="F2:G2" si="0">_xlfn.FLOOR.MATH(C2*0.7)</f>
        <v>17</v>
      </c>
      <c r="G2" s="6">
        <f t="shared" si="0"/>
        <v>17</v>
      </c>
      <c r="H2" s="10">
        <f>MIN($E2*$F2,$E2*$G2,$F2*$G2)</f>
        <v>289</v>
      </c>
      <c r="I2" s="10">
        <f>MAX(MIN($E2*$F2,$E2*$G2),$F2*$G2)</f>
        <v>289</v>
      </c>
      <c r="J2" s="10">
        <f>MAX($E2*$F2,$E2*$G2,$F2*$G2)</f>
        <v>289</v>
      </c>
    </row>
    <row r="3" spans="1:10" x14ac:dyDescent="0.2">
      <c r="A3" s="4" t="s">
        <v>2</v>
      </c>
      <c r="B3" s="5">
        <v>25</v>
      </c>
      <c r="C3" s="5">
        <v>25</v>
      </c>
      <c r="D3" s="5">
        <v>28</v>
      </c>
      <c r="E3" s="6">
        <f t="shared" ref="E3:E19" si="1">_xlfn.FLOOR.MATH(B3*0.7)</f>
        <v>17</v>
      </c>
      <c r="F3" s="6">
        <f t="shared" ref="F3:F19" si="2">_xlfn.FLOOR.MATH(C3*0.7)</f>
        <v>17</v>
      </c>
      <c r="G3" s="6">
        <f t="shared" ref="G3:G19" si="3">_xlfn.FLOOR.MATH(D3*0.7)</f>
        <v>19</v>
      </c>
      <c r="H3" s="11"/>
      <c r="I3" s="11"/>
      <c r="J3" s="11"/>
    </row>
    <row r="4" spans="1:10" x14ac:dyDescent="0.2">
      <c r="A4" s="7" t="s">
        <v>3</v>
      </c>
      <c r="B4" s="5">
        <v>25</v>
      </c>
      <c r="C4" s="5">
        <v>20</v>
      </c>
      <c r="D4" s="5">
        <v>27</v>
      </c>
      <c r="E4" s="6">
        <f t="shared" si="1"/>
        <v>17</v>
      </c>
      <c r="F4" s="6">
        <f t="shared" si="2"/>
        <v>14</v>
      </c>
      <c r="G4" s="6">
        <f t="shared" si="3"/>
        <v>18</v>
      </c>
      <c r="H4" s="14">
        <f>MIN($E4*$F4,$E4*$G4,$F4*$G4)</f>
        <v>238</v>
      </c>
      <c r="I4" s="14">
        <f>MIN($E4*$F4,$E4*$G4,$F4*$G4)</f>
        <v>238</v>
      </c>
      <c r="J4" s="14">
        <f>MIN($E4*$F4,$E4*$G4,$F4*$G4)</f>
        <v>238</v>
      </c>
    </row>
    <row r="5" spans="1:10" x14ac:dyDescent="0.2">
      <c r="A5" s="7" t="s">
        <v>4</v>
      </c>
      <c r="B5" s="5">
        <v>27</v>
      </c>
      <c r="C5" s="5">
        <v>20</v>
      </c>
      <c r="D5" s="5">
        <v>3</v>
      </c>
      <c r="E5" s="6">
        <f t="shared" si="1"/>
        <v>18</v>
      </c>
      <c r="F5" s="6">
        <f t="shared" si="2"/>
        <v>14</v>
      </c>
      <c r="G5" s="6">
        <f t="shared" si="3"/>
        <v>2</v>
      </c>
      <c r="H5" s="14">
        <f>MIN($E5*$F5,$E5*$G5,$F5*$G5)</f>
        <v>28</v>
      </c>
      <c r="I5" s="14">
        <f>MAX(MIN($E5*$F5,$E5*$G5),$F5*$G5)</f>
        <v>36</v>
      </c>
      <c r="J5" s="14">
        <f>MAX($E5*$F5,$E5*$G5,$F5*$G5)</f>
        <v>252</v>
      </c>
    </row>
    <row r="6" spans="1:10" x14ac:dyDescent="0.2">
      <c r="A6" s="7" t="s">
        <v>5</v>
      </c>
      <c r="B6" s="5">
        <v>15</v>
      </c>
      <c r="C6" s="5">
        <v>9</v>
      </c>
      <c r="D6" s="5">
        <v>18</v>
      </c>
      <c r="E6" s="6">
        <f t="shared" si="1"/>
        <v>10</v>
      </c>
      <c r="F6" s="6">
        <f t="shared" si="2"/>
        <v>6</v>
      </c>
      <c r="G6" s="6">
        <f t="shared" si="3"/>
        <v>12</v>
      </c>
      <c r="H6" s="10">
        <f>MIN($E6*$F6,$E6*$G6,$F6*$G6)</f>
        <v>60</v>
      </c>
      <c r="I6" s="10">
        <v>96</v>
      </c>
      <c r="J6" s="10">
        <v>96</v>
      </c>
    </row>
    <row r="7" spans="1:10" x14ac:dyDescent="0.2">
      <c r="A7" s="7" t="s">
        <v>6</v>
      </c>
      <c r="B7" s="5">
        <v>12</v>
      </c>
      <c r="C7" s="5">
        <v>6</v>
      </c>
      <c r="D7" s="5">
        <v>3</v>
      </c>
      <c r="E7" s="6">
        <f t="shared" si="1"/>
        <v>8</v>
      </c>
      <c r="F7" s="6">
        <f t="shared" si="2"/>
        <v>4</v>
      </c>
      <c r="G7" s="6">
        <f t="shared" si="3"/>
        <v>2</v>
      </c>
      <c r="H7" s="11"/>
      <c r="I7" s="11"/>
      <c r="J7" s="11"/>
    </row>
    <row r="8" spans="1:10" x14ac:dyDescent="0.2">
      <c r="A8" s="7" t="s">
        <v>7</v>
      </c>
      <c r="B8" s="5">
        <v>20</v>
      </c>
      <c r="C8" s="5">
        <v>12</v>
      </c>
      <c r="D8" s="5">
        <v>14</v>
      </c>
      <c r="E8" s="6">
        <f t="shared" si="1"/>
        <v>14</v>
      </c>
      <c r="F8" s="6">
        <f t="shared" si="2"/>
        <v>8</v>
      </c>
      <c r="G8" s="6">
        <f t="shared" si="3"/>
        <v>9</v>
      </c>
      <c r="H8" s="14">
        <f t="shared" ref="H8" si="4">MAX(MIN($E8*$F8,$E8*$G8),$F8*$G8)</f>
        <v>112</v>
      </c>
      <c r="I8" s="14">
        <f>MAX(MIN($E8*$F8,$E8*$G8),$F8*$G8)</f>
        <v>112</v>
      </c>
      <c r="J8" s="14">
        <f t="shared" ref="J8" si="5">MAX(MIN($E8*$F8,$E8*$G8),$F8*$G8)</f>
        <v>112</v>
      </c>
    </row>
    <row r="9" spans="1:10" x14ac:dyDescent="0.2">
      <c r="A9" s="7" t="s">
        <v>8</v>
      </c>
      <c r="B9" s="5">
        <v>20</v>
      </c>
      <c r="C9" s="5">
        <v>20</v>
      </c>
      <c r="D9" s="5">
        <v>40</v>
      </c>
      <c r="E9" s="6">
        <f t="shared" si="1"/>
        <v>14</v>
      </c>
      <c r="F9" s="6">
        <f t="shared" si="2"/>
        <v>14</v>
      </c>
      <c r="G9" s="6">
        <f t="shared" si="3"/>
        <v>28</v>
      </c>
      <c r="H9" s="10">
        <f>MIN($E9*$F9,$E9*$G9,$F9*$G9)</f>
        <v>196</v>
      </c>
      <c r="I9" s="10">
        <f>MAX(MIN($E9*$F9,$E9*$G9),$F9*$G9)</f>
        <v>392</v>
      </c>
      <c r="J9" s="10">
        <f>MAX($E9*$F9,$E9*$G9,$F9*$G9)</f>
        <v>392</v>
      </c>
    </row>
    <row r="10" spans="1:10" x14ac:dyDescent="0.2">
      <c r="A10" s="7" t="s">
        <v>9</v>
      </c>
      <c r="B10" s="5">
        <v>20</v>
      </c>
      <c r="C10" s="5">
        <v>20</v>
      </c>
      <c r="D10" s="5">
        <v>27</v>
      </c>
      <c r="E10" s="6">
        <f t="shared" si="1"/>
        <v>14</v>
      </c>
      <c r="F10" s="6">
        <f t="shared" si="2"/>
        <v>14</v>
      </c>
      <c r="G10" s="6">
        <f t="shared" si="3"/>
        <v>18</v>
      </c>
      <c r="H10" s="11"/>
      <c r="I10" s="11"/>
      <c r="J10" s="11"/>
    </row>
    <row r="11" spans="1:10" x14ac:dyDescent="0.2">
      <c r="A11" s="7" t="s">
        <v>10</v>
      </c>
      <c r="B11" s="5">
        <v>20</v>
      </c>
      <c r="C11" s="5">
        <v>20</v>
      </c>
      <c r="D11" s="5">
        <v>30</v>
      </c>
      <c r="E11" s="6">
        <f t="shared" si="1"/>
        <v>14</v>
      </c>
      <c r="F11" s="6">
        <f t="shared" si="2"/>
        <v>14</v>
      </c>
      <c r="G11" s="6">
        <f t="shared" si="3"/>
        <v>21</v>
      </c>
      <c r="H11" s="10">
        <f>MIN($E11*$F11,$E11*$G11,$F11*$G11)</f>
        <v>196</v>
      </c>
      <c r="I11" s="10">
        <f>PRODUCT(E13:F13)</f>
        <v>294</v>
      </c>
      <c r="J11" s="10">
        <f>PRODUCT(E12:F12)</f>
        <v>408</v>
      </c>
    </row>
    <row r="12" spans="1:10" x14ac:dyDescent="0.2">
      <c r="A12" s="7" t="s">
        <v>11</v>
      </c>
      <c r="B12" s="5">
        <v>35</v>
      </c>
      <c r="C12" s="5">
        <v>25</v>
      </c>
      <c r="D12" s="5">
        <v>5</v>
      </c>
      <c r="E12" s="6">
        <f t="shared" si="1"/>
        <v>24</v>
      </c>
      <c r="F12" s="6">
        <f t="shared" si="2"/>
        <v>17</v>
      </c>
      <c r="G12" s="6">
        <f t="shared" si="3"/>
        <v>3</v>
      </c>
      <c r="H12" s="12"/>
      <c r="I12" s="12"/>
      <c r="J12" s="12"/>
    </row>
    <row r="13" spans="1:10" x14ac:dyDescent="0.2">
      <c r="A13" s="7" t="s">
        <v>12</v>
      </c>
      <c r="B13" s="5">
        <v>30</v>
      </c>
      <c r="C13" s="5">
        <v>20</v>
      </c>
      <c r="D13" s="5">
        <v>9</v>
      </c>
      <c r="E13" s="6">
        <f t="shared" si="1"/>
        <v>21</v>
      </c>
      <c r="F13" s="6">
        <f t="shared" si="2"/>
        <v>14</v>
      </c>
      <c r="G13" s="6">
        <f t="shared" si="3"/>
        <v>6</v>
      </c>
      <c r="H13" s="11"/>
      <c r="I13" s="11"/>
      <c r="J13" s="11"/>
    </row>
    <row r="14" spans="1:10" x14ac:dyDescent="0.2">
      <c r="A14" s="7" t="s">
        <v>13</v>
      </c>
      <c r="B14" s="5">
        <v>6</v>
      </c>
      <c r="C14" s="5">
        <v>6</v>
      </c>
      <c r="D14" s="5">
        <v>6</v>
      </c>
      <c r="E14" s="6">
        <f t="shared" si="1"/>
        <v>4</v>
      </c>
      <c r="F14" s="6">
        <f t="shared" si="2"/>
        <v>4</v>
      </c>
      <c r="G14" s="6">
        <f t="shared" si="3"/>
        <v>4</v>
      </c>
      <c r="H14" s="14">
        <f>MIN($E14*$F14,$E14*$G14,$F14*$G14)</f>
        <v>16</v>
      </c>
      <c r="I14" s="14">
        <f>MAX(MIN($E14*$F14,$E14*$G14),$F14*$G14)</f>
        <v>16</v>
      </c>
      <c r="J14" s="14">
        <f>MAX($E14*$F14,$E14*$G14,$F14*$G14)</f>
        <v>16</v>
      </c>
    </row>
    <row r="15" spans="1:10" x14ac:dyDescent="0.2">
      <c r="A15" s="7" t="s">
        <v>14</v>
      </c>
      <c r="B15" s="5">
        <v>12</v>
      </c>
      <c r="C15" s="5">
        <v>12</v>
      </c>
      <c r="D15" s="5">
        <v>22</v>
      </c>
      <c r="E15" s="6">
        <f t="shared" si="1"/>
        <v>8</v>
      </c>
      <c r="F15" s="6">
        <f t="shared" si="2"/>
        <v>8</v>
      </c>
      <c r="G15" s="6">
        <f t="shared" si="3"/>
        <v>15</v>
      </c>
      <c r="H15" s="10">
        <f>MIN($E15*$F15,$E15*$G15,$F15*$G15)</f>
        <v>64</v>
      </c>
      <c r="I15" s="14">
        <f>MIN($E15*$F15,$E15*$G15,$F15*$G15)</f>
        <v>64</v>
      </c>
      <c r="J15" s="14">
        <f>MIN($E15*$F15,$E15*$G15,$F15*$G15)</f>
        <v>64</v>
      </c>
    </row>
    <row r="16" spans="1:10" x14ac:dyDescent="0.2">
      <c r="A16" s="7" t="s">
        <v>15</v>
      </c>
      <c r="B16" s="5">
        <v>9</v>
      </c>
      <c r="C16" s="5">
        <v>9</v>
      </c>
      <c r="D16" s="5">
        <v>15</v>
      </c>
      <c r="E16" s="6">
        <f t="shared" si="1"/>
        <v>6</v>
      </c>
      <c r="F16" s="6">
        <f t="shared" si="2"/>
        <v>6</v>
      </c>
      <c r="G16" s="6">
        <f t="shared" si="3"/>
        <v>10</v>
      </c>
      <c r="H16" s="12"/>
      <c r="I16" s="14">
        <f>MIN($E16*$F16,$E16*$G16,$F16*$G16)</f>
        <v>36</v>
      </c>
      <c r="J16" s="14">
        <f>MIN($E16*$F16,$E16*$G16,$F16*$G16)</f>
        <v>36</v>
      </c>
    </row>
    <row r="17" spans="1:10" x14ac:dyDescent="0.2">
      <c r="A17" s="7" t="s">
        <v>16</v>
      </c>
      <c r="B17" s="5">
        <v>6</v>
      </c>
      <c r="C17" s="5">
        <v>6</v>
      </c>
      <c r="D17" s="5">
        <v>9</v>
      </c>
      <c r="E17" s="6">
        <f t="shared" si="1"/>
        <v>4</v>
      </c>
      <c r="F17" s="6">
        <f t="shared" si="2"/>
        <v>4</v>
      </c>
      <c r="G17" s="6">
        <f t="shared" si="3"/>
        <v>6</v>
      </c>
      <c r="H17" s="11"/>
      <c r="I17" s="14">
        <f>MIN($E17*$F17,$E17*$G17,$F17*$G17)</f>
        <v>16</v>
      </c>
      <c r="J17" s="14">
        <f>MIN($E17*$F17,$E17*$G17,$F17*$G17)</f>
        <v>16</v>
      </c>
    </row>
    <row r="18" spans="1:10" x14ac:dyDescent="0.2">
      <c r="A18" s="7" t="s">
        <v>17</v>
      </c>
      <c r="B18" s="5">
        <v>32</v>
      </c>
      <c r="C18" s="5">
        <v>3</v>
      </c>
      <c r="D18" s="5">
        <v>3</v>
      </c>
      <c r="E18" s="6">
        <f t="shared" si="1"/>
        <v>22</v>
      </c>
      <c r="F18" s="6">
        <f t="shared" si="2"/>
        <v>2</v>
      </c>
      <c r="G18" s="6">
        <f t="shared" si="3"/>
        <v>2</v>
      </c>
      <c r="H18" s="10">
        <f>PRODUCT(F19:G19)</f>
        <v>9</v>
      </c>
      <c r="I18" s="10">
        <f>MAX(MIN($E18*$F18,$E18*$G18),$F18*$G18)</f>
        <v>44</v>
      </c>
      <c r="J18" s="10">
        <f>MAX($E18*$F18,$E18*$G18,$F18*$G18)</f>
        <v>44</v>
      </c>
    </row>
    <row r="19" spans="1:10" x14ac:dyDescent="0.2">
      <c r="A19" s="7" t="s">
        <v>18</v>
      </c>
      <c r="B19" s="5">
        <v>34</v>
      </c>
      <c r="C19" s="5">
        <v>5</v>
      </c>
      <c r="D19" s="5">
        <v>5</v>
      </c>
      <c r="E19" s="6">
        <f t="shared" si="1"/>
        <v>23</v>
      </c>
      <c r="F19" s="6">
        <f t="shared" si="2"/>
        <v>3</v>
      </c>
      <c r="G19" s="6">
        <f t="shared" si="3"/>
        <v>3</v>
      </c>
      <c r="H19" s="11"/>
      <c r="I19" s="11"/>
      <c r="J19" s="11"/>
    </row>
    <row r="20" spans="1:10" x14ac:dyDescent="0.2">
      <c r="H20" s="15">
        <f>SUM(H2:H19)</f>
        <v>1208</v>
      </c>
      <c r="I20" s="15">
        <f t="shared" ref="I20:J20" si="6">SUM(I2:I19)</f>
        <v>1633</v>
      </c>
      <c r="J20" s="15">
        <f t="shared" si="6"/>
        <v>1963</v>
      </c>
    </row>
    <row r="21" spans="1:10" x14ac:dyDescent="0.2">
      <c r="F21" s="8" t="s">
        <v>28</v>
      </c>
      <c r="G21" s="8">
        <v>1750</v>
      </c>
      <c r="H21" s="16">
        <f>H20/$G$21</f>
        <v>0.69028571428571428</v>
      </c>
      <c r="I21" s="16">
        <f t="shared" ref="I21:J21" si="7">I20/$G$21</f>
        <v>0.93314285714285716</v>
      </c>
      <c r="J21" s="16">
        <f t="shared" si="7"/>
        <v>1.1217142857142857</v>
      </c>
    </row>
    <row r="22" spans="1:10" ht="17" x14ac:dyDescent="0.2">
      <c r="F22" s="9" t="s">
        <v>29</v>
      </c>
      <c r="G22" s="9"/>
      <c r="H22" s="16">
        <v>0.95</v>
      </c>
      <c r="I22" s="16">
        <v>1.1000000000000001</v>
      </c>
      <c r="J22" s="16">
        <v>1.4</v>
      </c>
    </row>
  </sheetData>
  <mergeCells count="16">
    <mergeCell ref="H15:H17"/>
    <mergeCell ref="H18:H19"/>
    <mergeCell ref="I18:I19"/>
    <mergeCell ref="J18:J19"/>
    <mergeCell ref="H2:H3"/>
    <mergeCell ref="I2:I3"/>
    <mergeCell ref="J2:J3"/>
    <mergeCell ref="J11:J13"/>
    <mergeCell ref="I11:I13"/>
    <mergeCell ref="H11:H13"/>
    <mergeCell ref="H6:H7"/>
    <mergeCell ref="I6:I7"/>
    <mergeCell ref="J6:J7"/>
    <mergeCell ref="J9:J10"/>
    <mergeCell ref="I9:I10"/>
    <mergeCell ref="H9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Rugeri</dc:creator>
  <cp:lastModifiedBy>Gabriel Rugeri</cp:lastModifiedBy>
  <dcterms:created xsi:type="dcterms:W3CDTF">2026-02-04T11:23:58Z</dcterms:created>
  <dcterms:modified xsi:type="dcterms:W3CDTF">2026-02-04T15:08:14Z</dcterms:modified>
</cp:coreProperties>
</file>